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24" i="1" l="1"/>
  <c r="G20" i="1"/>
  <c r="F12" i="1" l="1"/>
  <c r="G12" i="1"/>
  <c r="G6" i="1" l="1"/>
  <c r="F6" i="1"/>
  <c r="B18" i="1"/>
  <c r="B14" i="1"/>
  <c r="B15" i="1" s="1"/>
  <c r="L5" i="1" l="1"/>
  <c r="K5" i="1"/>
  <c r="M4" i="1"/>
  <c r="M3" i="1"/>
  <c r="M11" i="1"/>
  <c r="M10" i="1"/>
  <c r="L12" i="1"/>
  <c r="K12" i="1"/>
  <c r="M12" i="1" l="1"/>
  <c r="M5" i="1"/>
</calcChain>
</file>

<file path=xl/sharedStrings.xml><?xml version="1.0" encoding="utf-8"?>
<sst xmlns="http://schemas.openxmlformats.org/spreadsheetml/2006/main" count="28" uniqueCount="12">
  <si>
    <t>Forecast</t>
  </si>
  <si>
    <t>Forecast-Planned</t>
  </si>
  <si>
    <t>Forecast-Actual</t>
  </si>
  <si>
    <t>UK</t>
  </si>
  <si>
    <t>US</t>
  </si>
  <si>
    <t>Overall</t>
  </si>
  <si>
    <t>Resources</t>
  </si>
  <si>
    <t>Onshore</t>
  </si>
  <si>
    <t>Offshore</t>
  </si>
  <si>
    <t>Total</t>
  </si>
  <si>
    <t>August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</si>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</sst>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4BD97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0" xfId="0" applyFont="1"/>
    <xf numFmtId="0" fontId="3" fillId="0" borderId="3" xfId="0" applyFont="1" applyBorder="1" applyAlignment="1">
      <alignment vertical="center"/>
    </xf>
    <xf numFmtId="8" fontId="0" fillId="0" borderId="0" xfId="0" applyNumberFormat="1"/>
    <xf numFmtId="8" fontId="4" fillId="2" borderId="4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24"/>
  <sheetViews>
    <sheetView tabSelected="1" topLeftCell="A4" workbookViewId="0">
      <selection activeCell="F15" sqref="F15"/>
    </sheetView>
  </sheetViews>
  <sheetFormatPr defaultRowHeight="15" x14ac:dyDescent="0.25"/>
  <cols>
    <col min="2" max="2" width="10" customWidth="1"/>
    <col min="6" max="6" width="16.5703125" bestFit="1" customWidth="1"/>
    <col min="7" max="7" width="14.85546875" bestFit="1" customWidth="1"/>
    <col min="10" max="10" width="10" bestFit="1" customWidth="1"/>
  </cols>
  <sheetData>
    <row r="1" spans="2:13" ht="15.75" thickBot="1" x14ac:dyDescent="0.3"/>
    <row r="2" spans="2:13" ht="15.75" thickBot="1" x14ac:dyDescent="0.3">
      <c r="B2">
        <v>47200</v>
      </c>
      <c r="E2" s="10" t="s">
        <v>10</v>
      </c>
      <c r="F2" s="11"/>
      <c r="G2" s="12"/>
      <c r="J2" s="1" t="s">
        <v>6</v>
      </c>
      <c r="K2" s="7" t="s">
        <v>3</v>
      </c>
      <c r="L2" s="7" t="s">
        <v>4</v>
      </c>
      <c r="M2" s="7" t="s">
        <v>5</v>
      </c>
    </row>
    <row r="3" spans="2:13" ht="15.75" thickBot="1" x14ac:dyDescent="0.3">
      <c r="B3">
        <v>26240</v>
      </c>
      <c r="E3" s="1" t="s">
        <v>0</v>
      </c>
      <c r="F3" s="2" t="s">
        <v>1</v>
      </c>
      <c r="G3" s="2" t="s">
        <v>2</v>
      </c>
      <c r="H3" s="3"/>
      <c r="J3" s="4" t="s">
        <v>7</v>
      </c>
      <c r="K3" s="8">
        <v>15</v>
      </c>
      <c r="L3" s="8">
        <v>2</v>
      </c>
      <c r="M3" s="9">
        <f>K3+L3</f>
        <v>17</v>
      </c>
    </row>
    <row r="4" spans="2:13" ht="15.75" thickBot="1" x14ac:dyDescent="0.3">
      <c r="B4">
        <v>35164</v>
      </c>
      <c r="E4" s="4" t="s">
        <v>3</v>
      </c>
      <c r="F4" s="6">
        <v>316189</v>
      </c>
      <c r="G4" s="6">
        <v>328671</v>
      </c>
      <c r="H4" s="3"/>
      <c r="J4" s="4" t="s">
        <v>8</v>
      </c>
      <c r="K4" s="8">
        <v>42</v>
      </c>
      <c r="L4" s="8">
        <v>13</v>
      </c>
      <c r="M4" s="9">
        <f t="shared" ref="M4:M5" si="0">K4+L4</f>
        <v>55</v>
      </c>
    </row>
    <row r="5" spans="2:13" ht="15.75" thickBot="1" x14ac:dyDescent="0.3">
      <c r="B5">
        <v>6776</v>
      </c>
      <c r="E5" s="4" t="s">
        <v>4</v>
      </c>
      <c r="F5" s="6">
        <v>65901</v>
      </c>
      <c r="G5" s="6">
        <v>67789</v>
      </c>
      <c r="H5" s="3"/>
      <c r="J5" s="4" t="s">
        <v>9</v>
      </c>
      <c r="K5" s="9">
        <f>SUM(K3:K4)</f>
        <v>57</v>
      </c>
      <c r="L5" s="9">
        <f t="shared" ref="L5" si="1">SUM(L3:L4)</f>
        <v>15</v>
      </c>
      <c r="M5" s="9">
        <f t="shared" si="0"/>
        <v>72</v>
      </c>
    </row>
    <row r="6" spans="2:13" ht="15.75" thickBot="1" x14ac:dyDescent="0.3">
      <c r="B6">
        <v>3520</v>
      </c>
      <c r="E6" s="4" t="s">
        <v>5</v>
      </c>
      <c r="F6" s="6">
        <f>SUM(F4:F5)</f>
        <v>382090</v>
      </c>
      <c r="G6" s="6">
        <f>SUM(G4:G5)</f>
        <v>396460</v>
      </c>
      <c r="H6" s="3"/>
    </row>
    <row r="7" spans="2:13" ht="15.75" thickBot="1" x14ac:dyDescent="0.3">
      <c r="B7">
        <v>8400</v>
      </c>
      <c r="E7" s="3"/>
      <c r="F7" s="3"/>
      <c r="G7" s="3"/>
      <c r="H7" s="3"/>
    </row>
    <row r="8" spans="2:13" ht="15.75" thickBot="1" x14ac:dyDescent="0.3">
      <c r="B8">
        <v>2600</v>
      </c>
      <c r="E8" s="10" t="s">
        <v>11</v>
      </c>
      <c r="F8" s="11"/>
      <c r="G8" s="12"/>
    </row>
    <row r="9" spans="2:13" ht="15.75" thickBot="1" x14ac:dyDescent="0.3">
      <c r="B9">
        <v>24180</v>
      </c>
      <c r="E9" s="1" t="s">
        <v>0</v>
      </c>
      <c r="F9" s="2" t="s">
        <v>1</v>
      </c>
      <c r="G9" s="2" t="s">
        <v>2</v>
      </c>
      <c r="H9" s="3"/>
      <c r="J9" s="1" t="s">
        <v>6</v>
      </c>
      <c r="K9" s="7" t="s">
        <v>3</v>
      </c>
      <c r="L9" s="7" t="s">
        <v>4</v>
      </c>
      <c r="M9" s="7" t="s">
        <v>5</v>
      </c>
    </row>
    <row r="10" spans="2:13" ht="15.75" thickBot="1" x14ac:dyDescent="0.3">
      <c r="B10">
        <v>20280</v>
      </c>
      <c r="E10" s="4" t="s">
        <v>3</v>
      </c>
      <c r="F10" s="6">
        <v>311844</v>
      </c>
      <c r="G10" s="6">
        <v>319545</v>
      </c>
      <c r="H10" s="3"/>
      <c r="J10" s="4" t="s">
        <v>7</v>
      </c>
      <c r="K10" s="8">
        <v>16</v>
      </c>
      <c r="L10" s="8">
        <v>2</v>
      </c>
      <c r="M10" s="9">
        <f>K10+L10</f>
        <v>18</v>
      </c>
    </row>
    <row r="11" spans="2:13" ht="15.75" thickBot="1" x14ac:dyDescent="0.3">
      <c r="B11">
        <v>44270</v>
      </c>
      <c r="E11" s="4" t="s">
        <v>4</v>
      </c>
      <c r="F11" s="6">
        <v>62936</v>
      </c>
      <c r="G11" s="6">
        <v>61812</v>
      </c>
      <c r="H11" s="3"/>
      <c r="J11" s="4" t="s">
        <v>8</v>
      </c>
      <c r="K11" s="8">
        <v>42</v>
      </c>
      <c r="L11" s="8">
        <v>13</v>
      </c>
      <c r="M11" s="9">
        <f t="shared" ref="M11:M12" si="2">K11+L11</f>
        <v>55</v>
      </c>
    </row>
    <row r="12" spans="2:13" ht="15.75" thickBot="1" x14ac:dyDescent="0.3">
      <c r="B12">
        <v>25851.8</v>
      </c>
      <c r="E12" s="4" t="s">
        <v>5</v>
      </c>
      <c r="F12" s="6">
        <f>SUM(F10:F11)</f>
        <v>374780</v>
      </c>
      <c r="G12" s="6">
        <f>SUM(G10:G11)</f>
        <v>381357</v>
      </c>
      <c r="H12" s="3"/>
      <c r="J12" s="4" t="s">
        <v>9</v>
      </c>
      <c r="K12" s="9">
        <f>SUM(K10:K11)</f>
        <v>58</v>
      </c>
      <c r="L12" s="9">
        <f t="shared" ref="L12" si="3">SUM(L10:L11)</f>
        <v>15</v>
      </c>
      <c r="M12" s="9">
        <f t="shared" si="2"/>
        <v>73</v>
      </c>
    </row>
    <row r="13" spans="2:13" x14ac:dyDescent="0.25">
      <c r="B13">
        <v>37580</v>
      </c>
      <c r="E13" s="3"/>
      <c r="F13" s="3"/>
      <c r="G13" s="3"/>
      <c r="H13" s="3"/>
    </row>
    <row r="14" spans="2:13" x14ac:dyDescent="0.25">
      <c r="B14">
        <f>SUM(B2:B13)</f>
        <v>282061.8</v>
      </c>
    </row>
    <row r="15" spans="2:13" x14ac:dyDescent="0.25">
      <c r="B15">
        <f>B14*1.3212</f>
        <v>372660.05015999998</v>
      </c>
    </row>
    <row r="17" spans="2:7" ht="15.75" thickBot="1" x14ac:dyDescent="0.3">
      <c r="B17">
        <v>51741</v>
      </c>
      <c r="G17" s="6">
        <v>327909</v>
      </c>
    </row>
    <row r="18" spans="2:7" x14ac:dyDescent="0.25">
      <c r="B18">
        <f>B17*1.3212</f>
        <v>68360.209199999998</v>
      </c>
      <c r="G18">
        <v>112</v>
      </c>
    </row>
    <row r="19" spans="2:7" x14ac:dyDescent="0.25">
      <c r="G19">
        <v>650</v>
      </c>
    </row>
    <row r="20" spans="2:7" x14ac:dyDescent="0.25">
      <c r="G20" s="5">
        <f>SUM(G17:G19)</f>
        <v>328671</v>
      </c>
    </row>
    <row r="22" spans="2:7" ht="15.75" thickBot="1" x14ac:dyDescent="0.3">
      <c r="G22" s="6">
        <v>67289</v>
      </c>
    </row>
    <row r="23" spans="2:7" x14ac:dyDescent="0.25">
      <c r="G23">
        <v>500</v>
      </c>
    </row>
    <row r="24" spans="2:7" x14ac:dyDescent="0.25">
      <c r="G24" s="5">
        <f>SUM(G22:G23)</f>
        <v>67789</v>
      </c>
    </row>
  </sheetData>
  <mergeCells count="2">
    <mergeCell ref="E2:G2"/>
    <mergeCell ref="E8:G8"/>
  </mergeCells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R, Sarathkumar (Cognizant)</dc:creator>
  <cp:lastModifiedBy>R, Sarathkumar (Cognizant)</cp:lastModifiedBy>
  <dcterms:created xsi:type="dcterms:W3CDTF">2017-03-23T12:38:46Z</dcterms:created>
  <dcterms:modified xsi:type="dcterms:W3CDTF">2017-08-28T09:05:30Z</dcterms:modified>
</cp:coreProperties>
</file>